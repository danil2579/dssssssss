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Щоденний облік" sheetId="1" state="visible" r:id="rId3"/>
    <sheet name="Підсумок" sheetId="2" state="visible" r:id="rId4"/>
  </sheets>
  <definedNames>
    <definedName function="false" hidden="false" localSheetId="0" name="_xlnm.Print_Titles" vbProcedure="false">'Щоденний облік'!$4:$5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<sst xmlns="http://schemas.openxmlformats.org/spreadsheetml/2006/main" count="65" uniqueCount="36">
  <si>
    <t xml:space="preserve">Облік виконання завдань мобільними вогневими групами «СТАЯ», «РОМБ», «ДАЧА» за червень 2026 року</t>
  </si>
  <si>
    <t xml:space="preserve">Щоденні ураження: БпЛА, FPV-дрони, ждуни (кількість, од.)</t>
  </si>
  <si>
    <t xml:space="preserve">№ з/п</t>
  </si>
  <si>
    <t xml:space="preserve">Дата</t>
  </si>
  <si>
    <t xml:space="preserve">День тижня</t>
  </si>
  <si>
    <t xml:space="preserve">МВГ «СТАЯ»</t>
  </si>
  <si>
    <t xml:space="preserve">МВГ «РОМБ»</t>
  </si>
  <si>
    <t xml:space="preserve">МВГ «ДАЧА»</t>
  </si>
  <si>
    <t xml:space="preserve">ВСЬОГО по МВГ</t>
  </si>
  <si>
    <t xml:space="preserve">Примітки</t>
  </si>
  <si>
    <t xml:space="preserve">БпЛА</t>
  </si>
  <si>
    <t xml:space="preserve">FPV</t>
  </si>
  <si>
    <t xml:space="preserve">Ждуни</t>
  </si>
  <si>
    <t xml:space="preserve">Разом</t>
  </si>
  <si>
    <t xml:space="preserve">Всього за червень</t>
  </si>
  <si>
    <t xml:space="preserve">Середнє за добу</t>
  </si>
  <si>
    <t xml:space="preserve">Максимум за добу</t>
  </si>
  <si>
    <t xml:space="preserve">Порядок заповнення:</t>
  </si>
  <si>
    <t xml:space="preserve">1. Жовті клітинки (сині цифри) — вносити кількість уражень за добу по кожній МВГ: БпЛА, FPV, ждуни. Порожня клітинка = 0.</t>
  </si>
  <si>
    <t xml:space="preserve">2. Стовпці «Разом», блок «ВСЬОГО по МВГ», рядки підсумків і аркуш «Підсумок» розраховуються автоматично — не редагувати.</t>
  </si>
  <si>
    <t xml:space="preserve">3. Для додаткової інформації (тип цілі, район, засоби ураження тощо) використовуйте стовпець «Примітки».</t>
  </si>
  <si>
    <t xml:space="preserve">Приклад заповнення рядка (умовні цифри, у підсумках не враховується):</t>
  </si>
  <si>
    <t xml:space="preserve">—</t>
  </si>
  <si>
    <t xml:space="preserve">дд.мм.рррр</t>
  </si>
  <si>
    <t xml:space="preserve">напр.: 2 FPV уражено в районі …</t>
  </si>
  <si>
    <t xml:space="preserve">Склав: ____________________________   ____________   «____» ____________ 2026 р.</t>
  </si>
  <si>
    <t xml:space="preserve">Підсумок виконання завдань МВГ «СТАЯ», «РОМБ», «ДАЧА» за червень 2026 року</t>
  </si>
  <si>
    <t xml:space="preserve">Мобільна вогнева група</t>
  </si>
  <si>
    <t xml:space="preserve">Частка від загальної к-сті</t>
  </si>
  <si>
    <t xml:space="preserve">Днів з ураженнями</t>
  </si>
  <si>
    <t xml:space="preserve">Найрезультативніша доба</t>
  </si>
  <si>
    <t xml:space="preserve">Розподіл уражень за декадами (разом по всіх типах цілей)</t>
  </si>
  <si>
    <t xml:space="preserve">І декада
01–10.06</t>
  </si>
  <si>
    <t xml:space="preserve">ІІ декада
11–20.06</t>
  </si>
  <si>
    <t xml:space="preserve">ІІІ декада
21–30.06</t>
  </si>
  <si>
    <t xml:space="preserve">Усі значення на цьому аркуші розраховуються автоматично з аркуша «Щоденний облік».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</si>
</sst>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General"/>
    <numFmt numFmtId="167" formatCode="0"/>
    <numFmt numFmtId="168" formatCode="0.0"/>
    <numFmt numFmtId="169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i val="true"/>
      <sz val="9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F7F7F7"/>
      </patternFill>
    </fill>
    <fill>
      <patternFill patternType="solid">
        <fgColor rgb="FFF7F7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EDED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20" min="20" style="0" width="3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4"/>
      <c r="F4" s="4"/>
      <c r="G4" s="4"/>
      <c r="H4" s="5" t="s">
        <v>6</v>
      </c>
      <c r="I4" s="5"/>
      <c r="J4" s="5"/>
      <c r="K4" s="5"/>
      <c r="L4" s="6" t="s">
        <v>7</v>
      </c>
      <c r="M4" s="6"/>
      <c r="N4" s="6"/>
      <c r="O4" s="6"/>
      <c r="P4" s="7" t="s">
        <v>8</v>
      </c>
      <c r="Q4" s="7"/>
      <c r="R4" s="7"/>
      <c r="S4" s="7"/>
      <c r="T4" s="3" t="s">
        <v>9</v>
      </c>
    </row>
    <row r="5" customFormat="false" ht="21.75" hidden="false" customHeight="true" outlineLevel="0" collapsed="false">
      <c r="A5" s="3"/>
      <c r="B5" s="3"/>
      <c r="C5" s="3"/>
      <c r="D5" s="4" t="s">
        <v>10</v>
      </c>
      <c r="E5" s="4" t="s">
        <v>11</v>
      </c>
      <c r="F5" s="4" t="s">
        <v>12</v>
      </c>
      <c r="G5" s="4" t="s">
        <v>13</v>
      </c>
      <c r="H5" s="5" t="s">
        <v>10</v>
      </c>
      <c r="I5" s="5" t="s">
        <v>11</v>
      </c>
      <c r="J5" s="5" t="s">
        <v>12</v>
      </c>
      <c r="K5" s="5" t="s">
        <v>13</v>
      </c>
      <c r="L5" s="6" t="s">
        <v>10</v>
      </c>
      <c r="M5" s="6" t="s">
        <v>11</v>
      </c>
      <c r="N5" s="6" t="s">
        <v>12</v>
      </c>
      <c r="O5" s="6" t="s">
        <v>13</v>
      </c>
      <c r="P5" s="7" t="s">
        <v>10</v>
      </c>
      <c r="Q5" s="7" t="s">
        <v>11</v>
      </c>
      <c r="R5" s="7" t="s">
        <v>12</v>
      </c>
      <c r="S5" s="7" t="s">
        <v>13</v>
      </c>
      <c r="T5" s="3"/>
    </row>
    <row r="6" customFormat="false" ht="15" hidden="false" customHeight="false" outlineLevel="0" collapsed="false">
      <c r="A6" s="8" t="n">
        <v>1</v>
      </c>
      <c r="B6" s="9" t="n">
        <v>46174</v>
      </c>
      <c r="C6" s="8" t="str">
        <f aca="false">CHOOSE(WEEKDAY(B6,2),"Пн","Вт","Ср","Чт","Пт","Сб","Нд")</f>
        <v>Пн</v>
      </c>
      <c r="D6" s="10"/>
      <c r="E6" s="10"/>
      <c r="F6" s="10"/>
      <c r="G6" s="11" t="n">
        <f aca="false">SUM(D6:F6)</f>
        <v>0</v>
      </c>
      <c r="H6" s="10"/>
      <c r="I6" s="10"/>
      <c r="J6" s="10"/>
      <c r="K6" s="11" t="n">
        <f aca="false">SUM(H6:J6)</f>
        <v>0</v>
      </c>
      <c r="L6" s="10"/>
      <c r="M6" s="10"/>
      <c r="N6" s="10"/>
      <c r="O6" s="11" t="n">
        <f aca="false">SUM(L6:N6)</f>
        <v>0</v>
      </c>
      <c r="P6" s="12" t="n">
        <f aca="false">D6+H6+L6</f>
        <v>0</v>
      </c>
      <c r="Q6" s="12" t="n">
        <f aca="false">E6+I6+M6</f>
        <v>0</v>
      </c>
      <c r="R6" s="12" t="n">
        <f aca="false">F6+J6+N6</f>
        <v>0</v>
      </c>
      <c r="S6" s="13" t="n">
        <f aca="false">SUM(P6:R6)</f>
        <v>0</v>
      </c>
      <c r="T6" s="14"/>
    </row>
    <row r="7" customFormat="false" ht="15" hidden="false" customHeight="false" outlineLevel="0" collapsed="false">
      <c r="A7" s="8" t="n">
        <v>2</v>
      </c>
      <c r="B7" s="9" t="n">
        <v>46175</v>
      </c>
      <c r="C7" s="8" t="str">
        <f aca="false">CHOOSE(WEEKDAY(B7,2),"Пн","Вт","Ср","Чт","Пт","Сб","Нд")</f>
        <v>Вт</v>
      </c>
      <c r="D7" s="10"/>
      <c r="E7" s="10"/>
      <c r="F7" s="10"/>
      <c r="G7" s="11" t="n">
        <f aca="false">SUM(D7:F7)</f>
        <v>0</v>
      </c>
      <c r="H7" s="10"/>
      <c r="I7" s="10"/>
      <c r="J7" s="10"/>
      <c r="K7" s="11" t="n">
        <f aca="false">SUM(H7:J7)</f>
        <v>0</v>
      </c>
      <c r="L7" s="10"/>
      <c r="M7" s="10"/>
      <c r="N7" s="10"/>
      <c r="O7" s="11" t="n">
        <f aca="false">SUM(L7:N7)</f>
        <v>0</v>
      </c>
      <c r="P7" s="12" t="n">
        <f aca="false">D7+H7+L7</f>
        <v>0</v>
      </c>
      <c r="Q7" s="12" t="n">
        <f aca="false">E7+I7+M7</f>
        <v>0</v>
      </c>
      <c r="R7" s="12" t="n">
        <f aca="false">F7+J7+N7</f>
        <v>0</v>
      </c>
      <c r="S7" s="13" t="n">
        <f aca="false">SUM(P7:R7)</f>
        <v>0</v>
      </c>
      <c r="T7" s="14"/>
    </row>
    <row r="8" customFormat="false" ht="15" hidden="false" customHeight="false" outlineLevel="0" collapsed="false">
      <c r="A8" s="8" t="n">
        <v>3</v>
      </c>
      <c r="B8" s="9" t="n">
        <v>46176</v>
      </c>
      <c r="C8" s="8" t="str">
        <f aca="false">CHOOSE(WEEKDAY(B8,2),"Пн","Вт","Ср","Чт","Пт","Сб","Нд")</f>
        <v>Ср</v>
      </c>
      <c r="D8" s="10"/>
      <c r="E8" s="10"/>
      <c r="F8" s="10"/>
      <c r="G8" s="11" t="n">
        <f aca="false">SUM(D8:F8)</f>
        <v>0</v>
      </c>
      <c r="H8" s="10"/>
      <c r="I8" s="10"/>
      <c r="J8" s="10"/>
      <c r="K8" s="11" t="n">
        <f aca="false">SUM(H8:J8)</f>
        <v>0</v>
      </c>
      <c r="L8" s="10"/>
      <c r="M8" s="10"/>
      <c r="N8" s="10"/>
      <c r="O8" s="11" t="n">
        <f aca="false">SUM(L8:N8)</f>
        <v>0</v>
      </c>
      <c r="P8" s="12" t="n">
        <f aca="false">D8+H8+L8</f>
        <v>0</v>
      </c>
      <c r="Q8" s="12" t="n">
        <f aca="false">E8+I8+M8</f>
        <v>0</v>
      </c>
      <c r="R8" s="12" t="n">
        <f aca="false">F8+J8+N8</f>
        <v>0</v>
      </c>
      <c r="S8" s="13" t="n">
        <f aca="false">SUM(P8:R8)</f>
        <v>0</v>
      </c>
      <c r="T8" s="14"/>
    </row>
    <row r="9" customFormat="false" ht="15" hidden="false" customHeight="false" outlineLevel="0" collapsed="false">
      <c r="A9" s="8" t="n">
        <v>4</v>
      </c>
      <c r="B9" s="9" t="n">
        <v>46177</v>
      </c>
      <c r="C9" s="8" t="str">
        <f aca="false">CHOOSE(WEEKDAY(B9,2),"Пн","Вт","Ср","Чт","Пт","Сб","Нд")</f>
        <v>Чт</v>
      </c>
      <c r="D9" s="10"/>
      <c r="E9" s="10"/>
      <c r="F9" s="10"/>
      <c r="G9" s="11" t="n">
        <f aca="false">SUM(D9:F9)</f>
        <v>0</v>
      </c>
      <c r="H9" s="10"/>
      <c r="I9" s="10"/>
      <c r="J9" s="10"/>
      <c r="K9" s="11" t="n">
        <f aca="false">SUM(H9:J9)</f>
        <v>0</v>
      </c>
      <c r="L9" s="10"/>
      <c r="M9" s="10"/>
      <c r="N9" s="10"/>
      <c r="O9" s="11" t="n">
        <f aca="false">SUM(L9:N9)</f>
        <v>0</v>
      </c>
      <c r="P9" s="12" t="n">
        <f aca="false">D9+H9+L9</f>
        <v>0</v>
      </c>
      <c r="Q9" s="12" t="n">
        <f aca="false">E9+I9+M9</f>
        <v>0</v>
      </c>
      <c r="R9" s="12" t="n">
        <f aca="false">F9+J9+N9</f>
        <v>0</v>
      </c>
      <c r="S9" s="13" t="n">
        <f aca="false">SUM(P9:R9)</f>
        <v>0</v>
      </c>
      <c r="T9" s="14"/>
    </row>
    <row r="10" customFormat="false" ht="15" hidden="false" customHeight="false" outlineLevel="0" collapsed="false">
      <c r="A10" s="8" t="n">
        <v>5</v>
      </c>
      <c r="B10" s="9" t="n">
        <v>46178</v>
      </c>
      <c r="C10" s="8" t="str">
        <f aca="false">CHOOSE(WEEKDAY(B10,2),"Пн","Вт","Ср","Чт","Пт","Сб","Нд")</f>
        <v>Пт</v>
      </c>
      <c r="D10" s="10"/>
      <c r="E10" s="10"/>
      <c r="F10" s="10"/>
      <c r="G10" s="11" t="n">
        <f aca="false">SUM(D10:F10)</f>
        <v>0</v>
      </c>
      <c r="H10" s="10"/>
      <c r="I10" s="10"/>
      <c r="J10" s="10"/>
      <c r="K10" s="11" t="n">
        <f aca="false">SUM(H10:J10)</f>
        <v>0</v>
      </c>
      <c r="L10" s="10"/>
      <c r="M10" s="10"/>
      <c r="N10" s="10"/>
      <c r="O10" s="11" t="n">
        <f aca="false">SUM(L10:N10)</f>
        <v>0</v>
      </c>
      <c r="P10" s="12" t="n">
        <f aca="false">D10+H10+L10</f>
        <v>0</v>
      </c>
      <c r="Q10" s="12" t="n">
        <f aca="false">E10+I10+M10</f>
        <v>0</v>
      </c>
      <c r="R10" s="12" t="n">
        <f aca="false">F10+J10+N10</f>
        <v>0</v>
      </c>
      <c r="S10" s="13" t="n">
        <f aca="false">SUM(P10:R10)</f>
        <v>0</v>
      </c>
      <c r="T10" s="14"/>
    </row>
    <row r="11" customFormat="false" ht="15" hidden="false" customHeight="false" outlineLevel="0" collapsed="false">
      <c r="A11" s="8" t="n">
        <v>6</v>
      </c>
      <c r="B11" s="9" t="n">
        <v>46179</v>
      </c>
      <c r="C11" s="8" t="str">
        <f aca="false">CHOOSE(WEEKDAY(B11,2),"Пн","Вт","Ср","Чт","Пт","Сб","Нд")</f>
        <v>Сб</v>
      </c>
      <c r="D11" s="10"/>
      <c r="E11" s="10"/>
      <c r="F11" s="10"/>
      <c r="G11" s="11" t="n">
        <f aca="false">SUM(D11:F11)</f>
        <v>0</v>
      </c>
      <c r="H11" s="10"/>
      <c r="I11" s="10"/>
      <c r="J11" s="10"/>
      <c r="K11" s="11" t="n">
        <f aca="false">SUM(H11:J11)</f>
        <v>0</v>
      </c>
      <c r="L11" s="10"/>
      <c r="M11" s="10"/>
      <c r="N11" s="10"/>
      <c r="O11" s="11" t="n">
        <f aca="false">SUM(L11:N11)</f>
        <v>0</v>
      </c>
      <c r="P11" s="12" t="n">
        <f aca="false">D11+H11+L11</f>
        <v>0</v>
      </c>
      <c r="Q11" s="12" t="n">
        <f aca="false">E11+I11+M11</f>
        <v>0</v>
      </c>
      <c r="R11" s="12" t="n">
        <f aca="false">F11+J11+N11</f>
        <v>0</v>
      </c>
      <c r="S11" s="13" t="n">
        <f aca="false">SUM(P11:R11)</f>
        <v>0</v>
      </c>
      <c r="T11" s="14"/>
    </row>
    <row r="12" customFormat="false" ht="15" hidden="false" customHeight="false" outlineLevel="0" collapsed="false">
      <c r="A12" s="8" t="n">
        <v>7</v>
      </c>
      <c r="B12" s="9" t="n">
        <v>46180</v>
      </c>
      <c r="C12" s="8" t="str">
        <f aca="false">CHOOSE(WEEKDAY(B12,2),"Пн","Вт","Ср","Чт","Пт","Сб","Нд")</f>
        <v>Нд</v>
      </c>
      <c r="D12" s="10"/>
      <c r="E12" s="10"/>
      <c r="F12" s="10"/>
      <c r="G12" s="11" t="n">
        <f aca="false">SUM(D12:F12)</f>
        <v>0</v>
      </c>
      <c r="H12" s="10"/>
      <c r="I12" s="10"/>
      <c r="J12" s="10"/>
      <c r="K12" s="11" t="n">
        <f aca="false">SUM(H12:J12)</f>
        <v>0</v>
      </c>
      <c r="L12" s="10"/>
      <c r="M12" s="10"/>
      <c r="N12" s="10"/>
      <c r="O12" s="11" t="n">
        <f aca="false">SUM(L12:N12)</f>
        <v>0</v>
      </c>
      <c r="P12" s="12" t="n">
        <f aca="false">D12+H12+L12</f>
        <v>0</v>
      </c>
      <c r="Q12" s="12" t="n">
        <f aca="false">E12+I12+M12</f>
        <v>0</v>
      </c>
      <c r="R12" s="12" t="n">
        <f aca="false">F12+J12+N12</f>
        <v>0</v>
      </c>
      <c r="S12" s="13" t="n">
        <f aca="false">SUM(P12:R12)</f>
        <v>0</v>
      </c>
      <c r="T12" s="14"/>
    </row>
    <row r="13" customFormat="false" ht="15" hidden="false" customHeight="false" outlineLevel="0" collapsed="false">
      <c r="A13" s="8" t="n">
        <v>8</v>
      </c>
      <c r="B13" s="9" t="n">
        <v>46181</v>
      </c>
      <c r="C13" s="8" t="str">
        <f aca="false">CHOOSE(WEEKDAY(B13,2),"Пн","Вт","Ср","Чт","Пт","Сб","Нд")</f>
        <v>Пн</v>
      </c>
      <c r="D13" s="10"/>
      <c r="E13" s="10"/>
      <c r="F13" s="10"/>
      <c r="G13" s="11" t="n">
        <f aca="false">SUM(D13:F13)</f>
        <v>0</v>
      </c>
      <c r="H13" s="10"/>
      <c r="I13" s="10"/>
      <c r="J13" s="10"/>
      <c r="K13" s="11" t="n">
        <f aca="false">SUM(H13:J13)</f>
        <v>0</v>
      </c>
      <c r="L13" s="10"/>
      <c r="M13" s="10"/>
      <c r="N13" s="10"/>
      <c r="O13" s="11" t="n">
        <f aca="false">SUM(L13:N13)</f>
        <v>0</v>
      </c>
      <c r="P13" s="12" t="n">
        <f aca="false">D13+H13+L13</f>
        <v>0</v>
      </c>
      <c r="Q13" s="12" t="n">
        <f aca="false">E13+I13+M13</f>
        <v>0</v>
      </c>
      <c r="R13" s="12" t="n">
        <f aca="false">F13+J13+N13</f>
        <v>0</v>
      </c>
      <c r="S13" s="13" t="n">
        <f aca="false">SUM(P13:R13)</f>
        <v>0</v>
      </c>
      <c r="T13" s="14"/>
    </row>
    <row r="14" customFormat="false" ht="15" hidden="false" customHeight="false" outlineLevel="0" collapsed="false">
      <c r="A14" s="8" t="n">
        <v>9</v>
      </c>
      <c r="B14" s="9" t="n">
        <v>46182</v>
      </c>
      <c r="C14" s="8" t="str">
        <f aca="false">CHOOSE(WEEKDAY(B14,2),"Пн","Вт","Ср","Чт","Пт","Сб","Нд")</f>
        <v>Вт</v>
      </c>
      <c r="D14" s="10"/>
      <c r="E14" s="10"/>
      <c r="F14" s="10"/>
      <c r="G14" s="11" t="n">
        <f aca="false">SUM(D14:F14)</f>
        <v>0</v>
      </c>
      <c r="H14" s="10"/>
      <c r="I14" s="10"/>
      <c r="J14" s="10"/>
      <c r="K14" s="11" t="n">
        <f aca="false">SUM(H14:J14)</f>
        <v>0</v>
      </c>
      <c r="L14" s="10"/>
      <c r="M14" s="10"/>
      <c r="N14" s="10"/>
      <c r="O14" s="11" t="n">
        <f aca="false">SUM(L14:N14)</f>
        <v>0</v>
      </c>
      <c r="P14" s="12" t="n">
        <f aca="false">D14+H14+L14</f>
        <v>0</v>
      </c>
      <c r="Q14" s="12" t="n">
        <f aca="false">E14+I14+M14</f>
        <v>0</v>
      </c>
      <c r="R14" s="12" t="n">
        <f aca="false">F14+J14+N14</f>
        <v>0</v>
      </c>
      <c r="S14" s="13" t="n">
        <f aca="false">SUM(P14:R14)</f>
        <v>0</v>
      </c>
      <c r="T14" s="14"/>
    </row>
    <row r="15" customFormat="false" ht="15" hidden="false" customHeight="false" outlineLevel="0" collapsed="false">
      <c r="A15" s="8" t="n">
        <v>10</v>
      </c>
      <c r="B15" s="9" t="n">
        <v>46183</v>
      </c>
      <c r="C15" s="8" t="str">
        <f aca="false">CHOOSE(WEEKDAY(B15,2),"Пн","Вт","Ср","Чт","Пт","Сб","Нд")</f>
        <v>Ср</v>
      </c>
      <c r="D15" s="10"/>
      <c r="E15" s="10"/>
      <c r="F15" s="10"/>
      <c r="G15" s="11" t="n">
        <f aca="false">SUM(D15:F15)</f>
        <v>0</v>
      </c>
      <c r="H15" s="10"/>
      <c r="I15" s="10"/>
      <c r="J15" s="10"/>
      <c r="K15" s="11" t="n">
        <f aca="false">SUM(H15:J15)</f>
        <v>0</v>
      </c>
      <c r="L15" s="10"/>
      <c r="M15" s="10"/>
      <c r="N15" s="10"/>
      <c r="O15" s="11" t="n">
        <f aca="false">SUM(L15:N15)</f>
        <v>0</v>
      </c>
      <c r="P15" s="12" t="n">
        <f aca="false">D15+H15+L15</f>
        <v>0</v>
      </c>
      <c r="Q15" s="12" t="n">
        <f aca="false">E15+I15+M15</f>
        <v>0</v>
      </c>
      <c r="R15" s="12" t="n">
        <f aca="false">F15+J15+N15</f>
        <v>0</v>
      </c>
      <c r="S15" s="13" t="n">
        <f aca="false">SUM(P15:R15)</f>
        <v>0</v>
      </c>
      <c r="T15" s="14"/>
    </row>
    <row r="16" customFormat="false" ht="15" hidden="false" customHeight="false" outlineLevel="0" collapsed="false">
      <c r="A16" s="8" t="n">
        <v>11</v>
      </c>
      <c r="B16" s="9" t="n">
        <v>46184</v>
      </c>
      <c r="C16" s="8" t="str">
        <f aca="false">CHOOSE(WEEKDAY(B16,2),"Пн","Вт","Ср","Чт","Пт","Сб","Нд")</f>
        <v>Чт</v>
      </c>
      <c r="D16" s="10"/>
      <c r="E16" s="10"/>
      <c r="F16" s="10"/>
      <c r="G16" s="11" t="n">
        <f aca="false">SUM(D16:F16)</f>
        <v>0</v>
      </c>
      <c r="H16" s="10"/>
      <c r="I16" s="10"/>
      <c r="J16" s="10"/>
      <c r="K16" s="11" t="n">
        <f aca="false">SUM(H16:J16)</f>
        <v>0</v>
      </c>
      <c r="L16" s="10"/>
      <c r="M16" s="10"/>
      <c r="N16" s="10"/>
      <c r="O16" s="11" t="n">
        <f aca="false">SUM(L16:N16)</f>
        <v>0</v>
      </c>
      <c r="P16" s="12" t="n">
        <f aca="false">D16+H16+L16</f>
        <v>0</v>
      </c>
      <c r="Q16" s="12" t="n">
        <f aca="false">E16+I16+M16</f>
        <v>0</v>
      </c>
      <c r="R16" s="12" t="n">
        <f aca="false">F16+J16+N16</f>
        <v>0</v>
      </c>
      <c r="S16" s="13" t="n">
        <f aca="false">SUM(P16:R16)</f>
        <v>0</v>
      </c>
      <c r="T16" s="14"/>
    </row>
    <row r="17" customFormat="false" ht="15" hidden="false" customHeight="false" outlineLevel="0" collapsed="false">
      <c r="A17" s="8" t="n">
        <v>12</v>
      </c>
      <c r="B17" s="9" t="n">
        <v>46185</v>
      </c>
      <c r="C17" s="8" t="str">
        <f aca="false">CHOOSE(WEEKDAY(B17,2),"Пн","Вт","Ср","Чт","Пт","Сб","Нд")</f>
        <v>Пт</v>
      </c>
      <c r="D17" s="10"/>
      <c r="E17" s="10"/>
      <c r="F17" s="10"/>
      <c r="G17" s="11" t="n">
        <f aca="false">SUM(D17:F17)</f>
        <v>0</v>
      </c>
      <c r="H17" s="10"/>
      <c r="I17" s="10"/>
      <c r="J17" s="10"/>
      <c r="K17" s="11" t="n">
        <f aca="false">SUM(H17:J17)</f>
        <v>0</v>
      </c>
      <c r="L17" s="10"/>
      <c r="M17" s="10"/>
      <c r="N17" s="10"/>
      <c r="O17" s="11" t="n">
        <f aca="false">SUM(L17:N17)</f>
        <v>0</v>
      </c>
      <c r="P17" s="12" t="n">
        <f aca="false">D17+H17+L17</f>
        <v>0</v>
      </c>
      <c r="Q17" s="12" t="n">
        <f aca="false">E17+I17+M17</f>
        <v>0</v>
      </c>
      <c r="R17" s="12" t="n">
        <f aca="false">F17+J17+N17</f>
        <v>0</v>
      </c>
      <c r="S17" s="13" t="n">
        <f aca="false">SUM(P17:R17)</f>
        <v>0</v>
      </c>
      <c r="T17" s="14"/>
    </row>
    <row r="18" customFormat="false" ht="15" hidden="false" customHeight="false" outlineLevel="0" collapsed="false">
      <c r="A18" s="8" t="n">
        <v>13</v>
      </c>
      <c r="B18" s="9" t="n">
        <v>46186</v>
      </c>
      <c r="C18" s="8" t="str">
        <f aca="false">CHOOSE(WEEKDAY(B18,2),"Пн","Вт","Ср","Чт","Пт","Сб","Нд")</f>
        <v>Сб</v>
      </c>
      <c r="D18" s="10"/>
      <c r="E18" s="10"/>
      <c r="F18" s="10"/>
      <c r="G18" s="11" t="n">
        <f aca="false">SUM(D18:F18)</f>
        <v>0</v>
      </c>
      <c r="H18" s="10"/>
      <c r="I18" s="10"/>
      <c r="J18" s="10"/>
      <c r="K18" s="11" t="n">
        <f aca="false">SUM(H18:J18)</f>
        <v>0</v>
      </c>
      <c r="L18" s="10"/>
      <c r="M18" s="10"/>
      <c r="N18" s="10"/>
      <c r="O18" s="11" t="n">
        <f aca="false">SUM(L18:N18)</f>
        <v>0</v>
      </c>
      <c r="P18" s="12" t="n">
        <f aca="false">D18+H18+L18</f>
        <v>0</v>
      </c>
      <c r="Q18" s="12" t="n">
        <f aca="false">E18+I18+M18</f>
        <v>0</v>
      </c>
      <c r="R18" s="12" t="n">
        <f aca="false">F18+J18+N18</f>
        <v>0</v>
      </c>
      <c r="S18" s="13" t="n">
        <f aca="false">SUM(P18:R18)</f>
        <v>0</v>
      </c>
      <c r="T18" s="14"/>
    </row>
    <row r="19" customFormat="false" ht="15" hidden="false" customHeight="false" outlineLevel="0" collapsed="false">
      <c r="A19" s="8" t="n">
        <v>14</v>
      </c>
      <c r="B19" s="9" t="n">
        <v>46187</v>
      </c>
      <c r="C19" s="8" t="str">
        <f aca="false">CHOOSE(WEEKDAY(B19,2),"Пн","Вт","Ср","Чт","Пт","Сб","Нд")</f>
        <v>Нд</v>
      </c>
      <c r="D19" s="10"/>
      <c r="E19" s="10"/>
      <c r="F19" s="10"/>
      <c r="G19" s="11" t="n">
        <f aca="false">SUM(D19:F19)</f>
        <v>0</v>
      </c>
      <c r="H19" s="10"/>
      <c r="I19" s="10"/>
      <c r="J19" s="10"/>
      <c r="K19" s="11" t="n">
        <f aca="false">SUM(H19:J19)</f>
        <v>0</v>
      </c>
      <c r="L19" s="10"/>
      <c r="M19" s="10"/>
      <c r="N19" s="10"/>
      <c r="O19" s="11" t="n">
        <f aca="false">SUM(L19:N19)</f>
        <v>0</v>
      </c>
      <c r="P19" s="12" t="n">
        <f aca="false">D19+H19+L19</f>
        <v>0</v>
      </c>
      <c r="Q19" s="12" t="n">
        <f aca="false">E19+I19+M19</f>
        <v>0</v>
      </c>
      <c r="R19" s="12" t="n">
        <f aca="false">F19+J19+N19</f>
        <v>0</v>
      </c>
      <c r="S19" s="13" t="n">
        <f aca="false">SUM(P19:R19)</f>
        <v>0</v>
      </c>
      <c r="T19" s="14"/>
    </row>
    <row r="20" customFormat="false" ht="15" hidden="false" customHeight="false" outlineLevel="0" collapsed="false">
      <c r="A20" s="8" t="n">
        <v>15</v>
      </c>
      <c r="B20" s="9" t="n">
        <v>46188</v>
      </c>
      <c r="C20" s="8" t="str">
        <f aca="false">CHOOSE(WEEKDAY(B20,2),"Пн","Вт","Ср","Чт","Пт","Сб","Нд")</f>
        <v>Пн</v>
      </c>
      <c r="D20" s="10"/>
      <c r="E20" s="10"/>
      <c r="F20" s="10"/>
      <c r="G20" s="11" t="n">
        <f aca="false">SUM(D20:F20)</f>
        <v>0</v>
      </c>
      <c r="H20" s="10"/>
      <c r="I20" s="10"/>
      <c r="J20" s="10"/>
      <c r="K20" s="11" t="n">
        <f aca="false">SUM(H20:J20)</f>
        <v>0</v>
      </c>
      <c r="L20" s="10"/>
      <c r="M20" s="10"/>
      <c r="N20" s="10"/>
      <c r="O20" s="11" t="n">
        <f aca="false">SUM(L20:N20)</f>
        <v>0</v>
      </c>
      <c r="P20" s="12" t="n">
        <f aca="false">D20+H20+L20</f>
        <v>0</v>
      </c>
      <c r="Q20" s="12" t="n">
        <f aca="false">E20+I20+M20</f>
        <v>0</v>
      </c>
      <c r="R20" s="12" t="n">
        <f aca="false">F20+J20+N20</f>
        <v>0</v>
      </c>
      <c r="S20" s="13" t="n">
        <f aca="false">SUM(P20:R20)</f>
        <v>0</v>
      </c>
      <c r="T20" s="14"/>
    </row>
    <row r="21" customFormat="false" ht="15" hidden="false" customHeight="false" outlineLevel="0" collapsed="false">
      <c r="A21" s="8" t="n">
        <v>16</v>
      </c>
      <c r="B21" s="9" t="n">
        <v>46189</v>
      </c>
      <c r="C21" s="8" t="str">
        <f aca="false">CHOOSE(WEEKDAY(B21,2),"Пн","Вт","Ср","Чт","Пт","Сб","Нд")</f>
        <v>Вт</v>
      </c>
      <c r="D21" s="10"/>
      <c r="E21" s="10"/>
      <c r="F21" s="10"/>
      <c r="G21" s="11" t="n">
        <f aca="false">SUM(D21:F21)</f>
        <v>0</v>
      </c>
      <c r="H21" s="10"/>
      <c r="I21" s="10"/>
      <c r="J21" s="10"/>
      <c r="K21" s="11" t="n">
        <f aca="false">SUM(H21:J21)</f>
        <v>0</v>
      </c>
      <c r="L21" s="10"/>
      <c r="M21" s="10"/>
      <c r="N21" s="10"/>
      <c r="O21" s="11" t="n">
        <f aca="false">SUM(L21:N21)</f>
        <v>0</v>
      </c>
      <c r="P21" s="12" t="n">
        <f aca="false">D21+H21+L21</f>
        <v>0</v>
      </c>
      <c r="Q21" s="12" t="n">
        <f aca="false">E21+I21+M21</f>
        <v>0</v>
      </c>
      <c r="R21" s="12" t="n">
        <f aca="false">F21+J21+N21</f>
        <v>0</v>
      </c>
      <c r="S21" s="13" t="n">
        <f aca="false">SUM(P21:R21)</f>
        <v>0</v>
      </c>
      <c r="T21" s="14"/>
    </row>
    <row r="22" customFormat="false" ht="15" hidden="false" customHeight="false" outlineLevel="0" collapsed="false">
      <c r="A22" s="8" t="n">
        <v>17</v>
      </c>
      <c r="B22" s="9" t="n">
        <v>46190</v>
      </c>
      <c r="C22" s="8" t="str">
        <f aca="false">CHOOSE(WEEKDAY(B22,2),"Пн","Вт","Ср","Чт","Пт","Сб","Нд")</f>
        <v>Ср</v>
      </c>
      <c r="D22" s="10"/>
      <c r="E22" s="10"/>
      <c r="F22" s="10"/>
      <c r="G22" s="11" t="n">
        <f aca="false">SUM(D22:F22)</f>
        <v>0</v>
      </c>
      <c r="H22" s="10"/>
      <c r="I22" s="10"/>
      <c r="J22" s="10"/>
      <c r="K22" s="11" t="n">
        <f aca="false">SUM(H22:J22)</f>
        <v>0</v>
      </c>
      <c r="L22" s="10"/>
      <c r="M22" s="10"/>
      <c r="N22" s="10"/>
      <c r="O22" s="11" t="n">
        <f aca="false">SUM(L22:N22)</f>
        <v>0</v>
      </c>
      <c r="P22" s="12" t="n">
        <f aca="false">D22+H22+L22</f>
        <v>0</v>
      </c>
      <c r="Q22" s="12" t="n">
        <f aca="false">E22+I22+M22</f>
        <v>0</v>
      </c>
      <c r="R22" s="12" t="n">
        <f aca="false">F22+J22+N22</f>
        <v>0</v>
      </c>
      <c r="S22" s="13" t="n">
        <f aca="false">SUM(P22:R22)</f>
        <v>0</v>
      </c>
      <c r="T22" s="14"/>
    </row>
    <row r="23" customFormat="false" ht="15" hidden="false" customHeight="false" outlineLevel="0" collapsed="false">
      <c r="A23" s="8" t="n">
        <v>18</v>
      </c>
      <c r="B23" s="9" t="n">
        <v>46191</v>
      </c>
      <c r="C23" s="8" t="str">
        <f aca="false">CHOOSE(WEEKDAY(B23,2),"Пн","Вт","Ср","Чт","Пт","Сб","Нд")</f>
        <v>Чт</v>
      </c>
      <c r="D23" s="10"/>
      <c r="E23" s="10"/>
      <c r="F23" s="10"/>
      <c r="G23" s="11" t="n">
        <f aca="false">SUM(D23:F23)</f>
        <v>0</v>
      </c>
      <c r="H23" s="10"/>
      <c r="I23" s="10"/>
      <c r="J23" s="10"/>
      <c r="K23" s="11" t="n">
        <f aca="false">SUM(H23:J23)</f>
        <v>0</v>
      </c>
      <c r="L23" s="10"/>
      <c r="M23" s="10"/>
      <c r="N23" s="10"/>
      <c r="O23" s="11" t="n">
        <f aca="false">SUM(L23:N23)</f>
        <v>0</v>
      </c>
      <c r="P23" s="12" t="n">
        <f aca="false">D23+H23+L23</f>
        <v>0</v>
      </c>
      <c r="Q23" s="12" t="n">
        <f aca="false">E23+I23+M23</f>
        <v>0</v>
      </c>
      <c r="R23" s="12" t="n">
        <f aca="false">F23+J23+N23</f>
        <v>0</v>
      </c>
      <c r="S23" s="13" t="n">
        <f aca="false">SUM(P23:R23)</f>
        <v>0</v>
      </c>
      <c r="T23" s="14"/>
    </row>
    <row r="24" customFormat="false" ht="15" hidden="false" customHeight="false" outlineLevel="0" collapsed="false">
      <c r="A24" s="8" t="n">
        <v>19</v>
      </c>
      <c r="B24" s="9" t="n">
        <v>46192</v>
      </c>
      <c r="C24" s="8" t="str">
        <f aca="false">CHOOSE(WEEKDAY(B24,2),"Пн","Вт","Ср","Чт","Пт","Сб","Нд")</f>
        <v>Пт</v>
      </c>
      <c r="D24" s="10"/>
      <c r="E24" s="10"/>
      <c r="F24" s="10"/>
      <c r="G24" s="11" t="n">
        <f aca="false">SUM(D24:F24)</f>
        <v>0</v>
      </c>
      <c r="H24" s="10"/>
      <c r="I24" s="10"/>
      <c r="J24" s="10"/>
      <c r="K24" s="11" t="n">
        <f aca="false">SUM(H24:J24)</f>
        <v>0</v>
      </c>
      <c r="L24" s="10"/>
      <c r="M24" s="10"/>
      <c r="N24" s="10"/>
      <c r="O24" s="11" t="n">
        <f aca="false">SUM(L24:N24)</f>
        <v>0</v>
      </c>
      <c r="P24" s="12" t="n">
        <f aca="false">D24+H24+L24</f>
        <v>0</v>
      </c>
      <c r="Q24" s="12" t="n">
        <f aca="false">E24+I24+M24</f>
        <v>0</v>
      </c>
      <c r="R24" s="12" t="n">
        <f aca="false">F24+J24+N24</f>
        <v>0</v>
      </c>
      <c r="S24" s="13" t="n">
        <f aca="false">SUM(P24:R24)</f>
        <v>0</v>
      </c>
      <c r="T24" s="14"/>
    </row>
    <row r="25" customFormat="false" ht="15" hidden="false" customHeight="false" outlineLevel="0" collapsed="false">
      <c r="A25" s="8" t="n">
        <v>20</v>
      </c>
      <c r="B25" s="9" t="n">
        <v>46193</v>
      </c>
      <c r="C25" s="8" t="str">
        <f aca="false">CHOOSE(WEEKDAY(B25,2),"Пн","Вт","Ср","Чт","Пт","Сб","Нд")</f>
        <v>Сб</v>
      </c>
      <c r="D25" s="10"/>
      <c r="E25" s="10"/>
      <c r="F25" s="10"/>
      <c r="G25" s="11" t="n">
        <f aca="false">SUM(D25:F25)</f>
        <v>0</v>
      </c>
      <c r="H25" s="10"/>
      <c r="I25" s="10"/>
      <c r="J25" s="10"/>
      <c r="K25" s="11" t="n">
        <f aca="false">SUM(H25:J25)</f>
        <v>0</v>
      </c>
      <c r="L25" s="10"/>
      <c r="M25" s="10"/>
      <c r="N25" s="10"/>
      <c r="O25" s="11" t="n">
        <f aca="false">SUM(L25:N25)</f>
        <v>0</v>
      </c>
      <c r="P25" s="12" t="n">
        <f aca="false">D25+H25+L25</f>
        <v>0</v>
      </c>
      <c r="Q25" s="12" t="n">
        <f aca="false">E25+I25+M25</f>
        <v>0</v>
      </c>
      <c r="R25" s="12" t="n">
        <f aca="false">F25+J25+N25</f>
        <v>0</v>
      </c>
      <c r="S25" s="13" t="n">
        <f aca="false">SUM(P25:R25)</f>
        <v>0</v>
      </c>
      <c r="T25" s="14"/>
    </row>
    <row r="26" customFormat="false" ht="15" hidden="false" customHeight="false" outlineLevel="0" collapsed="false">
      <c r="A26" s="8" t="n">
        <v>21</v>
      </c>
      <c r="B26" s="9" t="n">
        <v>46194</v>
      </c>
      <c r="C26" s="8" t="str">
        <f aca="false">CHOOSE(WEEKDAY(B26,2),"Пн","Вт","Ср","Чт","Пт","Сб","Нд")</f>
        <v>Нд</v>
      </c>
      <c r="D26" s="10"/>
      <c r="E26" s="10"/>
      <c r="F26" s="10"/>
      <c r="G26" s="11" t="n">
        <f aca="false">SUM(D26:F26)</f>
        <v>0</v>
      </c>
      <c r="H26" s="10"/>
      <c r="I26" s="10"/>
      <c r="J26" s="10"/>
      <c r="K26" s="11" t="n">
        <f aca="false">SUM(H26:J26)</f>
        <v>0</v>
      </c>
      <c r="L26" s="10"/>
      <c r="M26" s="10"/>
      <c r="N26" s="10"/>
      <c r="O26" s="11" t="n">
        <f aca="false">SUM(L26:N26)</f>
        <v>0</v>
      </c>
      <c r="P26" s="12" t="n">
        <f aca="false">D26+H26+L26</f>
        <v>0</v>
      </c>
      <c r="Q26" s="12" t="n">
        <f aca="false">E26+I26+M26</f>
        <v>0</v>
      </c>
      <c r="R26" s="12" t="n">
        <f aca="false">F26+J26+N26</f>
        <v>0</v>
      </c>
      <c r="S26" s="13" t="n">
        <f aca="false">SUM(P26:R26)</f>
        <v>0</v>
      </c>
      <c r="T26" s="14"/>
    </row>
    <row r="27" customFormat="false" ht="15" hidden="false" customHeight="false" outlineLevel="0" collapsed="false">
      <c r="A27" s="8" t="n">
        <v>22</v>
      </c>
      <c r="B27" s="9" t="n">
        <v>46195</v>
      </c>
      <c r="C27" s="8" t="str">
        <f aca="false">CHOOSE(WEEKDAY(B27,2),"Пн","Вт","Ср","Чт","Пт","Сб","Нд")</f>
        <v>Пн</v>
      </c>
      <c r="D27" s="10"/>
      <c r="E27" s="10"/>
      <c r="F27" s="10"/>
      <c r="G27" s="11" t="n">
        <f aca="false">SUM(D27:F27)</f>
        <v>0</v>
      </c>
      <c r="H27" s="10"/>
      <c r="I27" s="10"/>
      <c r="J27" s="10"/>
      <c r="K27" s="11" t="n">
        <f aca="false">SUM(H27:J27)</f>
        <v>0</v>
      </c>
      <c r="L27" s="10"/>
      <c r="M27" s="10"/>
      <c r="N27" s="10"/>
      <c r="O27" s="11" t="n">
        <f aca="false">SUM(L27:N27)</f>
        <v>0</v>
      </c>
      <c r="P27" s="12" t="n">
        <f aca="false">D27+H27+L27</f>
        <v>0</v>
      </c>
      <c r="Q27" s="12" t="n">
        <f aca="false">E27+I27+M27</f>
        <v>0</v>
      </c>
      <c r="R27" s="12" t="n">
        <f aca="false">F27+J27+N27</f>
        <v>0</v>
      </c>
      <c r="S27" s="13" t="n">
        <f aca="false">SUM(P27:R27)</f>
        <v>0</v>
      </c>
      <c r="T27" s="14"/>
    </row>
    <row r="28" customFormat="false" ht="15" hidden="false" customHeight="false" outlineLevel="0" collapsed="false">
      <c r="A28" s="8" t="n">
        <v>23</v>
      </c>
      <c r="B28" s="9" t="n">
        <v>46196</v>
      </c>
      <c r="C28" s="8" t="str">
        <f aca="false">CHOOSE(WEEKDAY(B28,2),"Пн","Вт","Ср","Чт","Пт","Сб","Нд")</f>
        <v>Вт</v>
      </c>
      <c r="D28" s="10"/>
      <c r="E28" s="10"/>
      <c r="F28" s="10"/>
      <c r="G28" s="11" t="n">
        <f aca="false">SUM(D28:F28)</f>
        <v>0</v>
      </c>
      <c r="H28" s="10"/>
      <c r="I28" s="10"/>
      <c r="J28" s="10"/>
      <c r="K28" s="11" t="n">
        <f aca="false">SUM(H28:J28)</f>
        <v>0</v>
      </c>
      <c r="L28" s="10"/>
      <c r="M28" s="10"/>
      <c r="N28" s="10"/>
      <c r="O28" s="11" t="n">
        <f aca="false">SUM(L28:N28)</f>
        <v>0</v>
      </c>
      <c r="P28" s="12" t="n">
        <f aca="false">D28+H28+L28</f>
        <v>0</v>
      </c>
      <c r="Q28" s="12" t="n">
        <f aca="false">E28+I28+M28</f>
        <v>0</v>
      </c>
      <c r="R28" s="12" t="n">
        <f aca="false">F28+J28+N28</f>
        <v>0</v>
      </c>
      <c r="S28" s="13" t="n">
        <f aca="false">SUM(P28:R28)</f>
        <v>0</v>
      </c>
      <c r="T28" s="14"/>
    </row>
    <row r="29" customFormat="false" ht="15" hidden="false" customHeight="false" outlineLevel="0" collapsed="false">
      <c r="A29" s="8" t="n">
        <v>24</v>
      </c>
      <c r="B29" s="9" t="n">
        <v>46197</v>
      </c>
      <c r="C29" s="8" t="str">
        <f aca="false">CHOOSE(WEEKDAY(B29,2),"Пн","Вт","Ср","Чт","Пт","Сб","Нд")</f>
        <v>Ср</v>
      </c>
      <c r="D29" s="10"/>
      <c r="E29" s="10"/>
      <c r="F29" s="10"/>
      <c r="G29" s="11" t="n">
        <f aca="false">SUM(D29:F29)</f>
        <v>0</v>
      </c>
      <c r="H29" s="10"/>
      <c r="I29" s="10"/>
      <c r="J29" s="10"/>
      <c r="K29" s="11" t="n">
        <f aca="false">SUM(H29:J29)</f>
        <v>0</v>
      </c>
      <c r="L29" s="10"/>
      <c r="M29" s="10"/>
      <c r="N29" s="10"/>
      <c r="O29" s="11" t="n">
        <f aca="false">SUM(L29:N29)</f>
        <v>0</v>
      </c>
      <c r="P29" s="12" t="n">
        <f aca="false">D29+H29+L29</f>
        <v>0</v>
      </c>
      <c r="Q29" s="12" t="n">
        <f aca="false">E29+I29+M29</f>
        <v>0</v>
      </c>
      <c r="R29" s="12" t="n">
        <f aca="false">F29+J29+N29</f>
        <v>0</v>
      </c>
      <c r="S29" s="13" t="n">
        <f aca="false">SUM(P29:R29)</f>
        <v>0</v>
      </c>
      <c r="T29" s="14"/>
    </row>
    <row r="30" customFormat="false" ht="15" hidden="false" customHeight="false" outlineLevel="0" collapsed="false">
      <c r="A30" s="8" t="n">
        <v>25</v>
      </c>
      <c r="B30" s="9" t="n">
        <v>46198</v>
      </c>
      <c r="C30" s="8" t="str">
        <f aca="false">CHOOSE(WEEKDAY(B30,2),"Пн","Вт","Ср","Чт","Пт","Сб","Нд")</f>
        <v>Чт</v>
      </c>
      <c r="D30" s="10"/>
      <c r="E30" s="10"/>
      <c r="F30" s="10"/>
      <c r="G30" s="11" t="n">
        <f aca="false">SUM(D30:F30)</f>
        <v>0</v>
      </c>
      <c r="H30" s="10"/>
      <c r="I30" s="10"/>
      <c r="J30" s="10"/>
      <c r="K30" s="11" t="n">
        <f aca="false">SUM(H30:J30)</f>
        <v>0</v>
      </c>
      <c r="L30" s="10"/>
      <c r="M30" s="10"/>
      <c r="N30" s="10"/>
      <c r="O30" s="11" t="n">
        <f aca="false">SUM(L30:N30)</f>
        <v>0</v>
      </c>
      <c r="P30" s="12" t="n">
        <f aca="false">D30+H30+L30</f>
        <v>0</v>
      </c>
      <c r="Q30" s="12" t="n">
        <f aca="false">E30+I30+M30</f>
        <v>0</v>
      </c>
      <c r="R30" s="12" t="n">
        <f aca="false">F30+J30+N30</f>
        <v>0</v>
      </c>
      <c r="S30" s="13" t="n">
        <f aca="false">SUM(P30:R30)</f>
        <v>0</v>
      </c>
      <c r="T30" s="14"/>
    </row>
    <row r="31" customFormat="false" ht="15" hidden="false" customHeight="false" outlineLevel="0" collapsed="false">
      <c r="A31" s="8" t="n">
        <v>26</v>
      </c>
      <c r="B31" s="9" t="n">
        <v>46199</v>
      </c>
      <c r="C31" s="8" t="str">
        <f aca="false">CHOOSE(WEEKDAY(B31,2),"Пн","Вт","Ср","Чт","Пт","Сб","Нд")</f>
        <v>Пт</v>
      </c>
      <c r="D31" s="10"/>
      <c r="E31" s="10"/>
      <c r="F31" s="10"/>
      <c r="G31" s="11" t="n">
        <f aca="false">SUM(D31:F31)</f>
        <v>0</v>
      </c>
      <c r="H31" s="10"/>
      <c r="I31" s="10"/>
      <c r="J31" s="10"/>
      <c r="K31" s="11" t="n">
        <f aca="false">SUM(H31:J31)</f>
        <v>0</v>
      </c>
      <c r="L31" s="10"/>
      <c r="M31" s="10"/>
      <c r="N31" s="10"/>
      <c r="O31" s="11" t="n">
        <f aca="false">SUM(L31:N31)</f>
        <v>0</v>
      </c>
      <c r="P31" s="12" t="n">
        <f aca="false">D31+H31+L31</f>
        <v>0</v>
      </c>
      <c r="Q31" s="12" t="n">
        <f aca="false">E31+I31+M31</f>
        <v>0</v>
      </c>
      <c r="R31" s="12" t="n">
        <f aca="false">F31+J31+N31</f>
        <v>0</v>
      </c>
      <c r="S31" s="13" t="n">
        <f aca="false">SUM(P31:R31)</f>
        <v>0</v>
      </c>
      <c r="T31" s="14"/>
    </row>
    <row r="32" customFormat="false" ht="15" hidden="false" customHeight="false" outlineLevel="0" collapsed="false">
      <c r="A32" s="8" t="n">
        <v>27</v>
      </c>
      <c r="B32" s="9" t="n">
        <v>46200</v>
      </c>
      <c r="C32" s="8" t="str">
        <f aca="false">CHOOSE(WEEKDAY(B32,2),"Пн","Вт","Ср","Чт","Пт","Сб","Нд")</f>
        <v>Сб</v>
      </c>
      <c r="D32" s="10"/>
      <c r="E32" s="10"/>
      <c r="F32" s="10"/>
      <c r="G32" s="11" t="n">
        <f aca="false">SUM(D32:F32)</f>
        <v>0</v>
      </c>
      <c r="H32" s="10"/>
      <c r="I32" s="10"/>
      <c r="J32" s="10"/>
      <c r="K32" s="11" t="n">
        <f aca="false">SUM(H32:J32)</f>
        <v>0</v>
      </c>
      <c r="L32" s="10"/>
      <c r="M32" s="10"/>
      <c r="N32" s="10"/>
      <c r="O32" s="11" t="n">
        <f aca="false">SUM(L32:N32)</f>
        <v>0</v>
      </c>
      <c r="P32" s="12" t="n">
        <f aca="false">D32+H32+L32</f>
        <v>0</v>
      </c>
      <c r="Q32" s="12" t="n">
        <f aca="false">E32+I32+M32</f>
        <v>0</v>
      </c>
      <c r="R32" s="12" t="n">
        <f aca="false">F32+J32+N32</f>
        <v>0</v>
      </c>
      <c r="S32" s="13" t="n">
        <f aca="false">SUM(P32:R32)</f>
        <v>0</v>
      </c>
      <c r="T32" s="14"/>
    </row>
    <row r="33" customFormat="false" ht="15" hidden="false" customHeight="false" outlineLevel="0" collapsed="false">
      <c r="A33" s="8" t="n">
        <v>28</v>
      </c>
      <c r="B33" s="9" t="n">
        <v>46201</v>
      </c>
      <c r="C33" s="8" t="str">
        <f aca="false">CHOOSE(WEEKDAY(B33,2),"Пн","Вт","Ср","Чт","Пт","Сб","Нд")</f>
        <v>Нд</v>
      </c>
      <c r="D33" s="10"/>
      <c r="E33" s="10"/>
      <c r="F33" s="10"/>
      <c r="G33" s="11" t="n">
        <f aca="false">SUM(D33:F33)</f>
        <v>0</v>
      </c>
      <c r="H33" s="10"/>
      <c r="I33" s="10"/>
      <c r="J33" s="10"/>
      <c r="K33" s="11" t="n">
        <f aca="false">SUM(H33:J33)</f>
        <v>0</v>
      </c>
      <c r="L33" s="10"/>
      <c r="M33" s="10"/>
      <c r="N33" s="10"/>
      <c r="O33" s="11" t="n">
        <f aca="false">SUM(L33:N33)</f>
        <v>0</v>
      </c>
      <c r="P33" s="12" t="n">
        <f aca="false">D33+H33+L33</f>
        <v>0</v>
      </c>
      <c r="Q33" s="12" t="n">
        <f aca="false">E33+I33+M33</f>
        <v>0</v>
      </c>
      <c r="R33" s="12" t="n">
        <f aca="false">F33+J33+N33</f>
        <v>0</v>
      </c>
      <c r="S33" s="13" t="n">
        <f aca="false">SUM(P33:R33)</f>
        <v>0</v>
      </c>
      <c r="T33" s="14"/>
    </row>
    <row r="34" customFormat="false" ht="15" hidden="false" customHeight="false" outlineLevel="0" collapsed="false">
      <c r="A34" s="8" t="n">
        <v>29</v>
      </c>
      <c r="B34" s="9" t="n">
        <v>46202</v>
      </c>
      <c r="C34" s="8" t="str">
        <f aca="false">CHOOSE(WEEKDAY(B34,2),"Пн","Вт","Ср","Чт","Пт","Сб","Нд")</f>
        <v>Пн</v>
      </c>
      <c r="D34" s="10"/>
      <c r="E34" s="10"/>
      <c r="F34" s="10"/>
      <c r="G34" s="11" t="n">
        <f aca="false">SUM(D34:F34)</f>
        <v>0</v>
      </c>
      <c r="H34" s="10"/>
      <c r="I34" s="10"/>
      <c r="J34" s="10"/>
      <c r="K34" s="11" t="n">
        <f aca="false">SUM(H34:J34)</f>
        <v>0</v>
      </c>
      <c r="L34" s="10"/>
      <c r="M34" s="10"/>
      <c r="N34" s="10"/>
      <c r="O34" s="11" t="n">
        <f aca="false">SUM(L34:N34)</f>
        <v>0</v>
      </c>
      <c r="P34" s="12" t="n">
        <f aca="false">D34+H34+L34</f>
        <v>0</v>
      </c>
      <c r="Q34" s="12" t="n">
        <f aca="false">E34+I34+M34</f>
        <v>0</v>
      </c>
      <c r="R34" s="12" t="n">
        <f aca="false">F34+J34+N34</f>
        <v>0</v>
      </c>
      <c r="S34" s="13" t="n">
        <f aca="false">SUM(P34:R34)</f>
        <v>0</v>
      </c>
      <c r="T34" s="14"/>
    </row>
    <row r="35" customFormat="false" ht="15" hidden="false" customHeight="false" outlineLevel="0" collapsed="false">
      <c r="A35" s="8" t="n">
        <v>30</v>
      </c>
      <c r="B35" s="9" t="n">
        <v>46203</v>
      </c>
      <c r="C35" s="8" t="str">
        <f aca="false">CHOOSE(WEEKDAY(B35,2),"Пн","Вт","Ср","Чт","Пт","Сб","Нд")</f>
        <v>Вт</v>
      </c>
      <c r="D35" s="10"/>
      <c r="E35" s="10"/>
      <c r="F35" s="10"/>
      <c r="G35" s="11" t="n">
        <f aca="false">SUM(D35:F35)</f>
        <v>0</v>
      </c>
      <c r="H35" s="10"/>
      <c r="I35" s="10"/>
      <c r="J35" s="10"/>
      <c r="K35" s="11" t="n">
        <f aca="false">SUM(H35:J35)</f>
        <v>0</v>
      </c>
      <c r="L35" s="10"/>
      <c r="M35" s="10"/>
      <c r="N35" s="10"/>
      <c r="O35" s="11" t="n">
        <f aca="false">SUM(L35:N35)</f>
        <v>0</v>
      </c>
      <c r="P35" s="12" t="n">
        <f aca="false">D35+H35+L35</f>
        <v>0</v>
      </c>
      <c r="Q35" s="12" t="n">
        <f aca="false">E35+I35+M35</f>
        <v>0</v>
      </c>
      <c r="R35" s="12" t="n">
        <f aca="false">F35+J35+N35</f>
        <v>0</v>
      </c>
      <c r="S35" s="13" t="n">
        <f aca="false">SUM(P35:R35)</f>
        <v>0</v>
      </c>
      <c r="T35" s="14"/>
    </row>
    <row r="36" customFormat="false" ht="18" hidden="false" customHeight="true" outlineLevel="0" collapsed="false">
      <c r="A36" s="15" t="s">
        <v>14</v>
      </c>
      <c r="B36" s="15"/>
      <c r="C36" s="15"/>
      <c r="D36" s="16" t="n">
        <f aca="false">SUM(D6:D35)</f>
        <v>0</v>
      </c>
      <c r="E36" s="16" t="n">
        <f aca="false">SUM(E6:E35)</f>
        <v>0</v>
      </c>
      <c r="F36" s="16" t="n">
        <f aca="false">SUM(F6:F35)</f>
        <v>0</v>
      </c>
      <c r="G36" s="16" t="n">
        <f aca="false">SUM(G6:G35)</f>
        <v>0</v>
      </c>
      <c r="H36" s="16" t="n">
        <f aca="false">SUM(H6:H35)</f>
        <v>0</v>
      </c>
      <c r="I36" s="16" t="n">
        <f aca="false">SUM(I6:I35)</f>
        <v>0</v>
      </c>
      <c r="J36" s="16" t="n">
        <f aca="false">SUM(J6:J35)</f>
        <v>0</v>
      </c>
      <c r="K36" s="16" t="n">
        <f aca="false">SUM(K6:K35)</f>
        <v>0</v>
      </c>
      <c r="L36" s="16" t="n">
        <f aca="false">SUM(L6:L35)</f>
        <v>0</v>
      </c>
      <c r="M36" s="16" t="n">
        <f aca="false">SUM(M6:M35)</f>
        <v>0</v>
      </c>
      <c r="N36" s="16" t="n">
        <f aca="false">SUM(N6:N35)</f>
        <v>0</v>
      </c>
      <c r="O36" s="16" t="n">
        <f aca="false">SUM(O6:O35)</f>
        <v>0</v>
      </c>
      <c r="P36" s="16" t="n">
        <f aca="false">SUM(P6:P35)</f>
        <v>0</v>
      </c>
      <c r="Q36" s="16" t="n">
        <f aca="false">SUM(Q6:Q35)</f>
        <v>0</v>
      </c>
      <c r="R36" s="16" t="n">
        <f aca="false">SUM(R6:R35)</f>
        <v>0</v>
      </c>
      <c r="S36" s="16" t="n">
        <f aca="false">SUM(S6:S35)</f>
        <v>0</v>
      </c>
      <c r="T36" s="17"/>
    </row>
    <row r="37" customFormat="false" ht="18" hidden="false" customHeight="true" outlineLevel="0" collapsed="false">
      <c r="A37" s="18" t="s">
        <v>15</v>
      </c>
      <c r="B37" s="18"/>
      <c r="C37" s="18"/>
      <c r="D37" s="19" t="n">
        <f aca="false">D36/COUNT($B$6:$B$35)</f>
        <v>0</v>
      </c>
      <c r="E37" s="19" t="n">
        <f aca="false">E36/COUNT($B$6:$B$35)</f>
        <v>0</v>
      </c>
      <c r="F37" s="19" t="n">
        <f aca="false">F36/COUNT($B$6:$B$35)</f>
        <v>0</v>
      </c>
      <c r="G37" s="19" t="n">
        <f aca="false">G36/COUNT($B$6:$B$35)</f>
        <v>0</v>
      </c>
      <c r="H37" s="19" t="n">
        <f aca="false">H36/COUNT($B$6:$B$35)</f>
        <v>0</v>
      </c>
      <c r="I37" s="19" t="n">
        <f aca="false">I36/COUNT($B$6:$B$35)</f>
        <v>0</v>
      </c>
      <c r="J37" s="19" t="n">
        <f aca="false">J36/COUNT($B$6:$B$35)</f>
        <v>0</v>
      </c>
      <c r="K37" s="19" t="n">
        <f aca="false">K36/COUNT($B$6:$B$35)</f>
        <v>0</v>
      </c>
      <c r="L37" s="19" t="n">
        <f aca="false">L36/COUNT($B$6:$B$35)</f>
        <v>0</v>
      </c>
      <c r="M37" s="19" t="n">
        <f aca="false">M36/COUNT($B$6:$B$35)</f>
        <v>0</v>
      </c>
      <c r="N37" s="19" t="n">
        <f aca="false">N36/COUNT($B$6:$B$35)</f>
        <v>0</v>
      </c>
      <c r="O37" s="19" t="n">
        <f aca="false">O36/COUNT($B$6:$B$35)</f>
        <v>0</v>
      </c>
      <c r="P37" s="19" t="n">
        <f aca="false">P36/COUNT($B$6:$B$35)</f>
        <v>0</v>
      </c>
      <c r="Q37" s="19" t="n">
        <f aca="false">Q36/COUNT($B$6:$B$35)</f>
        <v>0</v>
      </c>
      <c r="R37" s="19" t="n">
        <f aca="false">R36/COUNT($B$6:$B$35)</f>
        <v>0</v>
      </c>
      <c r="S37" s="19" t="n">
        <f aca="false">S36/COUNT($B$6:$B$35)</f>
        <v>0</v>
      </c>
      <c r="T37" s="20"/>
    </row>
    <row r="38" customFormat="false" ht="18" hidden="false" customHeight="true" outlineLevel="0" collapsed="false">
      <c r="A38" s="18" t="s">
        <v>16</v>
      </c>
      <c r="B38" s="18"/>
      <c r="C38" s="18"/>
      <c r="D38" s="21" t="n">
        <f aca="false">MAX(D6:D35)</f>
        <v>0</v>
      </c>
      <c r="E38" s="21" t="n">
        <f aca="false">MAX(E6:E35)</f>
        <v>0</v>
      </c>
      <c r="F38" s="21" t="n">
        <f aca="false">MAX(F6:F35)</f>
        <v>0</v>
      </c>
      <c r="G38" s="21" t="n">
        <f aca="false">MAX(G6:G35)</f>
        <v>0</v>
      </c>
      <c r="H38" s="21" t="n">
        <f aca="false">MAX(H6:H35)</f>
        <v>0</v>
      </c>
      <c r="I38" s="21" t="n">
        <f aca="false">MAX(I6:I35)</f>
        <v>0</v>
      </c>
      <c r="J38" s="21" t="n">
        <f aca="false">MAX(J6:J35)</f>
        <v>0</v>
      </c>
      <c r="K38" s="21" t="n">
        <f aca="false">MAX(K6:K35)</f>
        <v>0</v>
      </c>
      <c r="L38" s="21" t="n">
        <f aca="false">MAX(L6:L35)</f>
        <v>0</v>
      </c>
      <c r="M38" s="21" t="n">
        <f aca="false">MAX(M6:M35)</f>
        <v>0</v>
      </c>
      <c r="N38" s="21" t="n">
        <f aca="false">MAX(N6:N35)</f>
        <v>0</v>
      </c>
      <c r="O38" s="21" t="n">
        <f aca="false">MAX(O6:O35)</f>
        <v>0</v>
      </c>
      <c r="P38" s="21" t="n">
        <f aca="false">MAX(P6:P35)</f>
        <v>0</v>
      </c>
      <c r="Q38" s="21" t="n">
        <f aca="false">MAX(Q6:Q35)</f>
        <v>0</v>
      </c>
      <c r="R38" s="21" t="n">
        <f aca="false">MAX(R6:R35)</f>
        <v>0</v>
      </c>
      <c r="S38" s="21" t="n">
        <f aca="false">MAX(S6:S35)</f>
        <v>0</v>
      </c>
      <c r="T38" s="20"/>
    </row>
    <row r="40" customFormat="false" ht="15" hidden="false" customHeight="false" outlineLevel="0" collapsed="false">
      <c r="A40" s="22" t="s">
        <v>17</v>
      </c>
    </row>
    <row r="41" customFormat="false" ht="15" hidden="false" customHeight="false" outlineLevel="0" collapsed="false">
      <c r="A41" s="23" t="s">
        <v>18</v>
      </c>
    </row>
    <row r="42" customFormat="false" ht="15" hidden="false" customHeight="false" outlineLevel="0" collapsed="false">
      <c r="A42" s="23" t="s">
        <v>19</v>
      </c>
    </row>
    <row r="43" customFormat="false" ht="15" hidden="false" customHeight="false" outlineLevel="0" collapsed="false">
      <c r="A43" s="23" t="s">
        <v>20</v>
      </c>
    </row>
    <row r="44" customFormat="false" ht="15" hidden="false" customHeight="false" outlineLevel="0" collapsed="false">
      <c r="A44" s="24" t="s">
        <v>21</v>
      </c>
    </row>
    <row r="45" customFormat="false" ht="15" hidden="false" customHeight="false" outlineLevel="0" collapsed="false">
      <c r="A45" s="25" t="s">
        <v>22</v>
      </c>
      <c r="B45" s="25" t="s">
        <v>23</v>
      </c>
      <c r="C45" s="25" t="s">
        <v>22</v>
      </c>
      <c r="D45" s="26" t="n">
        <v>2</v>
      </c>
      <c r="E45" s="26" t="n">
        <v>5</v>
      </c>
      <c r="F45" s="26" t="n">
        <v>1</v>
      </c>
      <c r="G45" s="25" t="n">
        <f aca="false">SUM(D45:F45)</f>
        <v>8</v>
      </c>
      <c r="H45" s="26" t="n">
        <v>1</v>
      </c>
      <c r="I45" s="26" t="n">
        <v>3</v>
      </c>
      <c r="J45" s="26" t="n">
        <v>0</v>
      </c>
      <c r="K45" s="25" t="n">
        <f aca="false">SUM(H45:J45)</f>
        <v>4</v>
      </c>
      <c r="L45" s="26" t="n">
        <v>0</v>
      </c>
      <c r="M45" s="26" t="n">
        <v>4</v>
      </c>
      <c r="N45" s="26" t="n">
        <v>2</v>
      </c>
      <c r="O45" s="25" t="n">
        <f aca="false">SUM(L45:N45)</f>
        <v>6</v>
      </c>
      <c r="P45" s="25" t="n">
        <f aca="false">D45+H45+L45</f>
        <v>3</v>
      </c>
      <c r="Q45" s="25" t="n">
        <f aca="false">E45+I45+M45</f>
        <v>12</v>
      </c>
      <c r="R45" s="25" t="n">
        <f aca="false">F45+J45+N45</f>
        <v>3</v>
      </c>
      <c r="S45" s="25" t="n">
        <f aca="false">SUM(P45:R45)</f>
        <v>18</v>
      </c>
      <c r="T45" s="27" t="s">
        <v>24</v>
      </c>
    </row>
    <row r="48" customFormat="false" ht="15" hidden="false" customHeight="false" outlineLevel="0" collapsed="false">
      <c r="A48" s="28" t="s">
        <v>25</v>
      </c>
    </row>
  </sheetData>
  <mergeCells count="13">
    <mergeCell ref="A1:T1"/>
    <mergeCell ref="A2:T2"/>
    <mergeCell ref="A4:A5"/>
    <mergeCell ref="B4:B5"/>
    <mergeCell ref="C4:C5"/>
    <mergeCell ref="D4:G4"/>
    <mergeCell ref="H4:K4"/>
    <mergeCell ref="L4:O4"/>
    <mergeCell ref="P4:S4"/>
    <mergeCell ref="T4:T5"/>
    <mergeCell ref="A36:C36"/>
    <mergeCell ref="A37:C37"/>
    <mergeCell ref="A38:C38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16"/>
  </cols>
  <sheetData>
    <row r="1" customFormat="false" ht="24" hidden="false" customHeight="true" outlineLevel="0" collapsed="false">
      <c r="A1" s="29" t="s">
        <v>26</v>
      </c>
      <c r="B1" s="29"/>
      <c r="C1" s="29"/>
      <c r="D1" s="29"/>
      <c r="E1" s="29"/>
      <c r="F1" s="29"/>
      <c r="G1" s="29"/>
      <c r="H1" s="29"/>
      <c r="I1" s="29"/>
      <c r="J1" s="29"/>
    </row>
    <row r="3" customFormat="false" ht="42" hidden="false" customHeight="true" outlineLevel="0" collapsed="false">
      <c r="A3" s="3" t="s">
        <v>27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28</v>
      </c>
      <c r="G3" s="3" t="s">
        <v>29</v>
      </c>
      <c r="H3" s="3" t="s">
        <v>15</v>
      </c>
      <c r="I3" s="3" t="s">
        <v>16</v>
      </c>
      <c r="J3" s="3" t="s">
        <v>30</v>
      </c>
    </row>
    <row r="4" customFormat="false" ht="18" hidden="false" customHeight="true" outlineLevel="0" collapsed="false">
      <c r="A4" s="30" t="s">
        <v>5</v>
      </c>
      <c r="B4" s="31" t="n">
        <f aca="false">'Щоденний облік'!D36</f>
        <v>0</v>
      </c>
      <c r="C4" s="31" t="n">
        <f aca="false">'Щоденний облік'!E36</f>
        <v>0</v>
      </c>
      <c r="D4" s="31" t="n">
        <f aca="false">'Щоденний облік'!F36</f>
        <v>0</v>
      </c>
      <c r="E4" s="32" t="n">
        <f aca="false">'Щоденний облік'!G36</f>
        <v>0</v>
      </c>
      <c r="F4" s="33" t="n">
        <f aca="false">IF($E$7=0,0,E4/$E$7)</f>
        <v>0</v>
      </c>
      <c r="G4" s="8" t="n">
        <f aca="false">COUNTIF('Щоденний облік'!$G$6:$G$35,"&gt;0")</f>
        <v>0</v>
      </c>
      <c r="H4" s="34" t="n">
        <f aca="false">E4/COUNT('Щоденний облік'!$B$6:$B$35)</f>
        <v>0</v>
      </c>
      <c r="I4" s="8" t="n">
        <f aca="false">MAX('Щоденний облік'!$G$6:$G$35)</f>
        <v>0</v>
      </c>
      <c r="J4" s="9" t="str">
        <f aca="false">IF(I4=0,"—",INDEX('Щоденний облік'!$B$6:$B$35,MATCH(I4,'Щоденний облік'!$G$6:$G$35,0)))</f>
        <v>—</v>
      </c>
    </row>
    <row r="5" customFormat="false" ht="18" hidden="false" customHeight="true" outlineLevel="0" collapsed="false">
      <c r="A5" s="35" t="s">
        <v>6</v>
      </c>
      <c r="B5" s="31" t="n">
        <f aca="false">'Щоденний облік'!H36</f>
        <v>0</v>
      </c>
      <c r="C5" s="31" t="n">
        <f aca="false">'Щоденний облік'!I36</f>
        <v>0</v>
      </c>
      <c r="D5" s="31" t="n">
        <f aca="false">'Щоденний облік'!J36</f>
        <v>0</v>
      </c>
      <c r="E5" s="32" t="n">
        <f aca="false">'Щоденний облік'!K36</f>
        <v>0</v>
      </c>
      <c r="F5" s="33" t="n">
        <f aca="false">IF($E$7=0,0,E5/$E$7)</f>
        <v>0</v>
      </c>
      <c r="G5" s="8" t="n">
        <f aca="false">COUNTIF('Щоденний облік'!$K$6:$K$35,"&gt;0")</f>
        <v>0</v>
      </c>
      <c r="H5" s="34" t="n">
        <f aca="false">E5/COUNT('Щоденний облік'!$B$6:$B$35)</f>
        <v>0</v>
      </c>
      <c r="I5" s="8" t="n">
        <f aca="false">MAX('Щоденний облік'!$K$6:$K$35)</f>
        <v>0</v>
      </c>
      <c r="J5" s="9" t="str">
        <f aca="false">IF(I5=0,"—",INDEX('Щоденний облік'!$B$6:$B$35,MATCH(I5,'Щоденний облік'!$K$6:$K$35,0)))</f>
        <v>—</v>
      </c>
    </row>
    <row r="6" customFormat="false" ht="18" hidden="false" customHeight="true" outlineLevel="0" collapsed="false">
      <c r="A6" s="36" t="s">
        <v>7</v>
      </c>
      <c r="B6" s="31" t="n">
        <f aca="false">'Щоденний облік'!L36</f>
        <v>0</v>
      </c>
      <c r="C6" s="31" t="n">
        <f aca="false">'Щоденний облік'!M36</f>
        <v>0</v>
      </c>
      <c r="D6" s="31" t="n">
        <f aca="false">'Щоденний облік'!N36</f>
        <v>0</v>
      </c>
      <c r="E6" s="32" t="n">
        <f aca="false">'Щоденний облік'!O36</f>
        <v>0</v>
      </c>
      <c r="F6" s="33" t="n">
        <f aca="false">IF($E$7=0,0,E6/$E$7)</f>
        <v>0</v>
      </c>
      <c r="G6" s="8" t="n">
        <f aca="false">COUNTIF('Щоденний облік'!$O$6:$O$35,"&gt;0")</f>
        <v>0</v>
      </c>
      <c r="H6" s="34" t="n">
        <f aca="false">E6/COUNT('Щоденний облік'!$B$6:$B$35)</f>
        <v>0</v>
      </c>
      <c r="I6" s="8" t="n">
        <f aca="false">MAX('Щоденний облік'!$O$6:$O$35)</f>
        <v>0</v>
      </c>
      <c r="J6" s="9" t="str">
        <f aca="false">IF(I6=0,"—",INDEX('Щоденний облік'!$B$6:$B$35,MATCH(I6,'Щоденний облік'!$O$6:$O$35,0)))</f>
        <v>—</v>
      </c>
    </row>
    <row r="7" customFormat="false" ht="18" hidden="false" customHeight="true" outlineLevel="0" collapsed="false">
      <c r="A7" s="37" t="s">
        <v>8</v>
      </c>
      <c r="B7" s="16" t="n">
        <f aca="false">'Щоденний облік'!P36</f>
        <v>0</v>
      </c>
      <c r="C7" s="16" t="n">
        <f aca="false">'Щоденний облік'!Q36</f>
        <v>0</v>
      </c>
      <c r="D7" s="16" t="n">
        <f aca="false">'Щоденний облік'!R36</f>
        <v>0</v>
      </c>
      <c r="E7" s="16" t="n">
        <f aca="false">'Щоденний облік'!S36</f>
        <v>0</v>
      </c>
      <c r="F7" s="38" t="n">
        <f aca="false">IF($E$7=0,0,E7/$E$7)</f>
        <v>0</v>
      </c>
      <c r="G7" s="17" t="n">
        <f aca="false">COUNTIF('Щоденний облік'!$S$6:$S$35,"&gt;0")</f>
        <v>0</v>
      </c>
      <c r="H7" s="39" t="n">
        <f aca="false">E7/COUNT('Щоденний облік'!$B$6:$B$35)</f>
        <v>0</v>
      </c>
      <c r="I7" s="17" t="n">
        <f aca="false">MAX('Щоденний облік'!$S$6:$S$35)</f>
        <v>0</v>
      </c>
      <c r="J7" s="40" t="str">
        <f aca="false">IF(I7=0,"—",INDEX('Щоденний облік'!$B$6:$B$35,MATCH(I7,'Щоденний облік'!$S$6:$S$35,0)))</f>
        <v>—</v>
      </c>
    </row>
    <row r="9" customFormat="false" ht="15" hidden="false" customHeight="false" outlineLevel="0" collapsed="false">
      <c r="A9" s="41" t="s">
        <v>31</v>
      </c>
    </row>
    <row r="10" customFormat="false" ht="31.5" hidden="false" customHeight="true" outlineLevel="0" collapsed="false">
      <c r="A10" s="3" t="s">
        <v>27</v>
      </c>
      <c r="B10" s="3" t="s">
        <v>32</v>
      </c>
      <c r="C10" s="3" t="s">
        <v>33</v>
      </c>
      <c r="D10" s="3" t="s">
        <v>34</v>
      </c>
      <c r="E10" s="3" t="s">
        <v>13</v>
      </c>
    </row>
    <row r="11" customFormat="false" ht="18" hidden="false" customHeight="true" outlineLevel="0" collapsed="false">
      <c r="A11" s="30" t="s">
        <v>5</v>
      </c>
      <c r="B11" s="8" t="n">
        <f aca="false">SUM('Щоденний облік'!G6:G15)</f>
        <v>0</v>
      </c>
      <c r="C11" s="8" t="n">
        <f aca="false">SUM('Щоденний облік'!G16:G25)</f>
        <v>0</v>
      </c>
      <c r="D11" s="8" t="n">
        <f aca="false">SUM('Щоденний облік'!G26:G35)</f>
        <v>0</v>
      </c>
      <c r="E11" s="11" t="n">
        <f aca="false">SUM(B11:D11)</f>
        <v>0</v>
      </c>
    </row>
    <row r="12" customFormat="false" ht="18" hidden="false" customHeight="true" outlineLevel="0" collapsed="false">
      <c r="A12" s="35" t="s">
        <v>6</v>
      </c>
      <c r="B12" s="8" t="n">
        <f aca="false">SUM('Щоденний облік'!K6:K15)</f>
        <v>0</v>
      </c>
      <c r="C12" s="8" t="n">
        <f aca="false">SUM('Щоденний облік'!K16:K25)</f>
        <v>0</v>
      </c>
      <c r="D12" s="8" t="n">
        <f aca="false">SUM('Щоденний облік'!K26:K35)</f>
        <v>0</v>
      </c>
      <c r="E12" s="11" t="n">
        <f aca="false">SUM(B12:D12)</f>
        <v>0</v>
      </c>
    </row>
    <row r="13" customFormat="false" ht="18" hidden="false" customHeight="true" outlineLevel="0" collapsed="false">
      <c r="A13" s="36" t="s">
        <v>7</v>
      </c>
      <c r="B13" s="8" t="n">
        <f aca="false">SUM('Щоденний облік'!O6:O15)</f>
        <v>0</v>
      </c>
      <c r="C13" s="8" t="n">
        <f aca="false">SUM('Щоденний облік'!O16:O25)</f>
        <v>0</v>
      </c>
      <c r="D13" s="8" t="n">
        <f aca="false">SUM('Щоденний облік'!O26:O35)</f>
        <v>0</v>
      </c>
      <c r="E13" s="11" t="n">
        <f aca="false">SUM(B13:D13)</f>
        <v>0</v>
      </c>
    </row>
    <row r="14" customFormat="false" ht="18" hidden="false" customHeight="true" outlineLevel="0" collapsed="false">
      <c r="A14" s="37" t="s">
        <v>8</v>
      </c>
      <c r="B14" s="17" t="n">
        <f aca="false">SUM('Щоденний облік'!S6:S15)</f>
        <v>0</v>
      </c>
      <c r="C14" s="17" t="n">
        <f aca="false">SUM('Щоденний облік'!S16:S25)</f>
        <v>0</v>
      </c>
      <c r="D14" s="17" t="n">
        <f aca="false">SUM('Щоденний облік'!S26:S35)</f>
        <v>0</v>
      </c>
      <c r="E14" s="17" t="n">
        <f aca="false">SUM(B14:D14)</f>
        <v>0</v>
      </c>
    </row>
    <row r="16" customFormat="false" ht="15" hidden="false" customHeight="false" outlineLevel="0" collapsed="false">
      <c r="A16" s="42" t="s">
        <v>35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2026-09-25T09:27:51Z</dcterms:created>
  <dc:creator>openpyxl</dc:creator>
  <dc:description/>
  <dc:language>en-US</dc:language>
  <cp:lastModifiedBy/>
  <dcterms:modified xsi:type="dcterms:W3CDTF">2026-09-25T09:27:51Z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